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5942af2e8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Summary" sheetId="1" r:id="Re7c83f80be2e43a1"/>
    <x:sheet xmlns:r="http://schemas.openxmlformats.org/officeDocument/2006/relationships" name="01 WO Cost" sheetId="2" r:id="R3001bc3bb4ca4397"/>
    <x:sheet xmlns:r="http://schemas.openxmlformats.org/officeDocument/2006/relationships" name="02 BOM Cost" sheetId="3" r:id="R7d9760b499894061"/>
    <x:sheet xmlns:r="http://schemas.openxmlformats.org/officeDocument/2006/relationships" name="03 Evidence" sheetId="4" r:id="R42e494ab3b4f434d"/>
    <x:sheet xmlns:r="http://schemas.openxmlformats.org/officeDocument/2006/relationships" name="04 Odoo Guide" sheetId="5" r:id="R58444d859d7d4501"/>
    <x:sheet xmlns:r="http://schemas.openxmlformats.org/officeDocument/2006/relationships" name="05 Standard vs Pain" sheetId="6" r:id="R4d73c20af0a8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FEF3C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horizontal="right"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200" fontId="3" fillId="7" borderId="2" xfId="0" applyNumberFormat="1" applyFont="1" applyFill="1" applyBorder="1" applyAlignment="1">
      <x:alignment vertical="top" wrapText="1"/>
    </x:xf>
    <x:xf numFmtId="200" fontId="3" fillId="7" borderId="2" xfId="0" applyNumberFormat="1" applyFont="1" applyFill="1" applyBorder="1" applyAlignment="1">
      <x:alignment horizontal="right" vertical="top" wrapText="1"/>
    </x:xf>
    <x:xf numFmtId="200" fontId="3" fillId="5" borderId="2" xfId="0" applyNumberFormat="1" applyFont="1" applyFill="1" applyBorder="1" applyAlignment="1">
      <x:alignment vertical="top" wrapText="1"/>
    </x:xf>
    <x:xf numFmtId="200" fontId="3" fillId="5" borderId="2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2622e9a394c88" /><Relationship Type="http://schemas.openxmlformats.org/officeDocument/2006/relationships/theme" Target="/xl/theme/theme1.xml" Id="R71b009858c47467f" /><Relationship Type="http://schemas.openxmlformats.org/officeDocument/2006/relationships/sharedStrings" Target="/xl/sharedStrings.xml" Id="R3408f712096c4675" /><Relationship Type="http://schemas.openxmlformats.org/officeDocument/2006/relationships/worksheet" Target="/xl/worksheets/sheet1.xml" Id="Re7c83f80be2e43a1" /><Relationship Type="http://schemas.openxmlformats.org/officeDocument/2006/relationships/worksheet" Target="/xl/worksheets/sheet2.xml" Id="R3001bc3bb4ca4397" /><Relationship Type="http://schemas.openxmlformats.org/officeDocument/2006/relationships/worksheet" Target="/xl/worksheets/sheet3.xml" Id="R7d9760b499894061" /><Relationship Type="http://schemas.openxmlformats.org/officeDocument/2006/relationships/worksheet" Target="/xl/worksheets/sheet4.xml" Id="R42e494ab3b4f434d" /><Relationship Type="http://schemas.openxmlformats.org/officeDocument/2006/relationships/worksheet" Target="/xl/worksheets/sheet5.xml" Id="R58444d859d7d4501" /><Relationship Type="http://schemas.openxmlformats.org/officeDocument/2006/relationships/worksheet" Target="/xl/worksheets/sheet6.xml" Id="R4d73c20af0a844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65" hidden="0" customWidth="1"/>
    <x:col min="4" max="4" width="41.25" hidden="0" customWidth="1"/>
    <x:col min="5" max="5" width="3.75" hidden="0" customWidth="1"/>
    <x:col min="6" max="6" width="23.75" hidden="0" customWidth="1"/>
    <x:col min="7" max="7" width="22.5" hidden="0" customWidth="1"/>
    <x:col min="8" max="8" width="32.5" hidden="0" customWidth="1"/>
  </x:cols>
  <x:sheetData>
    <x:row r="1" ht="27" customHeight="1">
      <x:c r="A1" s="4" t="str">
        <x:v>AMS Work Order + Cost + Odoo Dashboard Evidence</x:v>
      </x:c>
      <x:c r="B1" s="4" t="str">
        <x:v>AMS Work Order + Cost + Odoo Dashboard Evidence</x:v>
      </x:c>
      <x:c r="C1" s="4" t="str">
        <x:v>AMS Work Order + Cost + Odoo Dashboard Evidence</x:v>
      </x:c>
      <x:c r="D1" s="4" t="str">
        <x:v>AMS Work Order + Cost + Odoo Dashboard Evidence</x:v>
      </x:c>
      <x:c r="E1" s="4" t="str">
        <x:v>AMS Work Order + Cost + Odoo Dashboard Evidence</x:v>
      </x:c>
      <x:c r="F1" s="4" t="str">
        <x:v>AMS Work Order + Cost + Odoo Dashboard Evidence</x:v>
      </x:c>
      <x:c r="G1" s="4" t="str">
        <x:v>AMS Work Order + Cost + Odoo Dashboard Evidence</x:v>
      </x:c>
      <x:c r="H1" s="4" t="str">
        <x:v>AMS Work Order + Cost + Odoo Dashboard Evidence</x:v>
      </x:c>
    </x:row>
    <x:row r="3">
      <x:c r="A3" s="10" t="str">
        <x:v>หัวข้อ</x:v>
      </x:c>
      <x:c r="B3" s="10" t="str">
        <x:v>สถานะ</x:v>
      </x:c>
      <x:c r="C3" s="10" t="str">
        <x:v>รายละเอียด</x:v>
      </x:c>
      <x:c r="D3" s="10" t="str">
        <x:v>Odoo Record</x:v>
      </x:c>
      <x:c r="F3" s="16" t="str">
        <x:v>ยอดขาย SO</x:v>
      </x:c>
      <x:c r="G3" s="13" t="str">
        <x:v>S00009</x:v>
      </x:c>
      <x:c r="H3" s="13" t="str">
        <x:v>sale</x:v>
      </x:c>
    </x:row>
    <x:row r="4">
      <x:c r="A4" s="13" t="str">
        <x:v>Database</x:v>
      </x:c>
      <x:c r="B4" s="14" t="str">
        <x:v>Done</x:v>
      </x:c>
      <x:c r="C4" s="13" t="str">
        <x:v>AMS</x:v>
      </x:c>
      <x:c r="D4" s="13" t="str">
        <x:v>http://localhost:8813/web/login?db=AMS</x:v>
      </x:c>
      <x:c r="F4" s="16" t="str">
        <x:v>MO ที่ผลิตจริง</x:v>
      </x:c>
      <x:c r="G4" s="13" t="str">
        <x:v>WH/MO/00010</x:v>
      </x:c>
      <x:c r="H4" s="13" t="str">
        <x:v>done</x:v>
      </x:c>
    </x:row>
    <x:row r="5">
      <x:c r="A5" s="13" t="str">
        <x:v>Standard First</x:v>
      </x:c>
      <x:c r="B5" s="14" t="str">
        <x:v>Done</x:v>
      </x:c>
      <x:c r="C5" s="13" t="str">
        <x:v>ใช้ standard Odoo MRP / Work Order / Stock Valuation / Accounting ไม่ติดตั้ง custom module</x:v>
      </x:c>
      <x:c r="D5" s="13" t="str">
        <x:v>Custom installed: 0</x:v>
      </x:c>
      <x:c r="F5" s="16" t="str">
        <x:v>ต้นทุน FG/หน่วย</x:v>
      </x:c>
      <x:c r="G5" s="18" t="n">
        <x:v>1559</x:v>
      </x:c>
      <x:c r="H5" s="13" t="str">
        <x:v>จาก BOM + Work Center</x:v>
      </x:c>
    </x:row>
    <x:row r="6">
      <x:c r="A6" s="13" t="str">
        <x:v>Auto MO</x:v>
      </x:c>
      <x:c r="B6" s="14" t="str">
        <x:v>Done</x:v>
      </x:c>
      <x:c r="C6" s="13" t="str">
        <x:v>Sales Order สร้าง Manufacturing Order ผ่าน route MTO + Manufacture</x:v>
      </x:c>
      <x:c r="D6" s="13" t="str">
        <x:v>WH/MO/00010</x:v>
      </x:c>
      <x:c r="F6" s="16" t="str">
        <x:v>ต้นทุน Work Center</x:v>
      </x:c>
      <x:c r="G6" s="18" t="n">
        <x:v>1245</x:v>
      </x:c>
      <x:c r="H6" s="13" t="str">
        <x:v>รวม WO 21 ขั้น</x:v>
      </x:c>
    </x:row>
    <x:row r="7">
      <x:c r="A7" s="13" t="str">
        <x:v>Work Order</x:v>
      </x:c>
      <x:c r="B7" s="14" t="str">
        <x:v>Done</x:v>
      </x:c>
      <x:c r="C7" s="13" t="str">
        <x:v>ปิด Work Order ครบ 21 ขั้น</x:v>
      </x:c>
      <x:c r="D7" s="13" t="str">
        <x:v>Manufacturing &gt; Operations &gt; Work Orders</x:v>
      </x:c>
      <x:c r="F7" s="16" t="str">
        <x:v>Invoice</x:v>
      </x:c>
      <x:c r="G7" s="13" t="str">
        <x:v>INV/2026/00004</x:v>
      </x:c>
      <x:c r="H7" s="13" t="str">
        <x:v>posted</x:v>
      </x:c>
    </x:row>
    <x:row r="8">
      <x:c r="A8" s="13" t="str">
        <x:v>Cost Structure</x:v>
      </x:c>
      <x:c r="B8" s="14" t="str">
        <x:v>Done</x:v>
      </x:c>
      <x:c r="C8" s="13" t="str">
        <x:v>Raw material 314 + Work center 1245 = FG cost 1559</x:v>
      </x:c>
      <x:c r="D8" s="13" t="str">
        <x:v>Product &gt; AMS.400 &gt; Cost Structure</x:v>
      </x:c>
    </x:row>
    <x:row r="9">
      <x:c r="A9" s="13" t="str">
        <x:v>Stock Valuation</x:v>
      </x:c>
      <x:c r="B9" s="14" t="str">
        <x:v>Done</x:v>
      </x:c>
      <x:c r="C9" s="13" t="str">
        <x:v>MO และ Delivery มี stock valuation layer จริง</x:v>
      </x:c>
      <x:c r="D9" s="13" t="str">
        <x:v>Inventory &gt; Reporting &gt; Valuation</x:v>
      </x:c>
    </x:row>
    <x:row r="10">
      <x:c r="A10" s="13" t="str">
        <x:v>Invoice</x:v>
      </x:c>
      <x:c r="B10" s="14" t="str">
        <x:v>posted</x:v>
      </x:c>
      <x:c r="C10" s="13" t="str">
        <x:v>INV/2026/00004 amount 2420.35</x:v>
      </x:c>
      <x:c r="D10" s="13" t="str">
        <x:v>Accounting &gt; Customers &gt; Invoices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1.25" hidden="0" customWidth="1"/>
    <x:col min="3" max="3" width="18.75" hidden="0" customWidth="1"/>
    <x:col min="4" max="4" width="15" hidden="0" customWidth="1"/>
    <x:col min="5" max="5" width="15" hidden="0" customWidth="1"/>
    <x:col min="6" max="6" width="16.25" hidden="0" customWidth="1"/>
    <x:col min="7" max="7" width="12.5" hidden="0" customWidth="1"/>
    <x:col min="8" max="8" width="15" hidden="0" customWidth="1"/>
  </x:cols>
  <x:sheetData>
    <x:row r="1" ht="27" customHeight="1">
      <x:c r="A1" s="4" t="str">
        <x:v>Work Order Cost ที่ตั้งจริงใน Odoo</x:v>
      </x:c>
      <x:c r="B1" s="4" t="str">
        <x:v>Work Order Cost ที่ตั้งจริงใน Odoo</x:v>
      </x:c>
      <x:c r="C1" s="4" t="str">
        <x:v>Work Order Cost ที่ตั้งจริงใน Odoo</x:v>
      </x:c>
      <x:c r="D1" s="4" t="str">
        <x:v>Work Order Cost ที่ตั้งจริงใน Odoo</x:v>
      </x:c>
      <x:c r="E1" s="4" t="str">
        <x:v>Work Order Cost ที่ตั้งจริงใน Odoo</x:v>
      </x:c>
      <x:c r="F1" s="4" t="str">
        <x:v>Work Order Cost ที่ตั้งจริงใน Odoo</x:v>
      </x:c>
      <x:c r="G1" s="4" t="str">
        <x:v>Work Order Cost ที่ตั้งจริงใน Odoo</x:v>
      </x:c>
      <x:c r="H1" s="4" t="str">
        <x:v>Work Order Cost ที่ตั้งจริงใน Odoo</x:v>
      </x:c>
    </x:row>
    <x:row r="3">
      <x:c r="A3" s="24" t="str">
        <x:v>Seq</x:v>
      </x:c>
      <x:c r="B3" s="24" t="str">
        <x:v>Operation</x:v>
      </x:c>
      <x:c r="C3" s="24" t="str">
        <x:v>Work Center</x:v>
      </x:c>
      <x:c r="D3" s="24" t="str">
        <x:v>Actual Minutes</x:v>
      </x:c>
      <x:c r="E3" s="24" t="str">
        <x:v>Cost / Hour</x:v>
      </x:c>
      <x:c r="F3" s="24" t="str">
        <x:v>Cost Formula</x:v>
      </x:c>
      <x:c r="G3" s="24" t="str">
        <x:v>State</x:v>
      </x:c>
      <x:c r="H3" s="24" t="str">
        <x:v>Odoo Cost</x:v>
      </x:c>
    </x:row>
    <x:row r="4">
      <x:c r="A4" s="13" t="n">
        <x:v>1</x:v>
      </x:c>
      <x:c r="B4" s="13" t="str">
        <x:v>PUNCHING 1</x:v>
      </x:c>
      <x:c r="C4" s="13" t="str">
        <x:v>PUNCHING</x:v>
      </x:c>
      <x:c r="D4" s="18" t="n">
        <x:v>12</x:v>
      </x:c>
      <x:c r="E4" s="18" t="n">
        <x:v>350</x:v>
      </x:c>
      <x:c r="F4" s="18" t="n">
        <x:f>D4*E4/60</x:f>
        <x:v>70</x:v>
      </x:c>
      <x:c r="G4" s="13" t="str">
        <x:v>done</x:v>
      </x:c>
      <x:c r="H4" s="18" t="n">
        <x:v>70</x:v>
      </x:c>
    </x:row>
    <x:row r="5">
      <x:c r="A5" s="13" t="n">
        <x:v>2</x:v>
      </x:c>
      <x:c r="B5" s="13" t="str">
        <x:v>SLIT FILM 1</x:v>
      </x:c>
      <x:c r="C5" s="13" t="str">
        <x:v>SLIT</x:v>
      </x:c>
      <x:c r="D5" s="18" t="n">
        <x:v>8</x:v>
      </x:c>
      <x:c r="E5" s="18" t="n">
        <x:v>300</x:v>
      </x:c>
      <x:c r="F5" s="18" t="n">
        <x:f>D5*E5/60</x:f>
        <x:v>40</x:v>
      </x:c>
      <x:c r="G5" s="13" t="str">
        <x:v>done</x:v>
      </x:c>
      <x:c r="H5" s="18" t="n">
        <x:v>40</x:v>
      </x:c>
    </x:row>
    <x:row r="6">
      <x:c r="A6" s="13" t="n">
        <x:v>3</x:v>
      </x:c>
      <x:c r="B6" s="13" t="str">
        <x:v>SLIT ADHESIVE 1</x:v>
      </x:c>
      <x:c r="C6" s="13" t="str">
        <x:v>SLIT</x:v>
      </x:c>
      <x:c r="D6" s="18" t="n">
        <x:v>8</x:v>
      </x:c>
      <x:c r="E6" s="18" t="n">
        <x:v>300</x:v>
      </x:c>
      <x:c r="F6" s="18" t="n">
        <x:f>D6*E6/60</x:f>
        <x:v>40</x:v>
      </x:c>
      <x:c r="G6" s="13" t="str">
        <x:v>done</x:v>
      </x:c>
      <x:c r="H6" s="18" t="n">
        <x:v>40</x:v>
      </x:c>
    </x:row>
    <x:row r="7">
      <x:c r="A7" s="13" t="n">
        <x:v>4</x:v>
      </x:c>
      <x:c r="B7" s="13" t="str">
        <x:v>LAMINATE 1</x:v>
      </x:c>
      <x:c r="C7" s="13" t="str">
        <x:v>LAMINATE</x:v>
      </x:c>
      <x:c r="D7" s="18" t="n">
        <x:v>15</x:v>
      </x:c>
      <x:c r="E7" s="18" t="n">
        <x:v>500</x:v>
      </x:c>
      <x:c r="F7" s="18" t="n">
        <x:f>D7*E7/60</x:f>
        <x:v>125</x:v>
      </x:c>
      <x:c r="G7" s="13" t="str">
        <x:v>done</x:v>
      </x:c>
      <x:c r="H7" s="18" t="n">
        <x:v>125</x:v>
      </x:c>
    </x:row>
    <x:row r="8">
      <x:c r="A8" s="13" t="n">
        <x:v>5</x:v>
      </x:c>
      <x:c r="B8" s="13" t="str">
        <x:v>PUNCHING 2</x:v>
      </x:c>
      <x:c r="C8" s="13" t="str">
        <x:v>PUNCHING</x:v>
      </x:c>
      <x:c r="D8" s="18" t="n">
        <x:v>12</x:v>
      </x:c>
      <x:c r="E8" s="18" t="n">
        <x:v>350</x:v>
      </x:c>
      <x:c r="F8" s="18" t="n">
        <x:f>D8*E8/60</x:f>
        <x:v>70</x:v>
      </x:c>
      <x:c r="G8" s="13" t="str">
        <x:v>done</x:v>
      </x:c>
      <x:c r="H8" s="18" t="n">
        <x:v>70</x:v>
      </x:c>
    </x:row>
    <x:row r="9">
      <x:c r="A9" s="13" t="n">
        <x:v>6</x:v>
      </x:c>
      <x:c r="B9" s="13" t="str">
        <x:v>LAMINATE MACHINE 2</x:v>
      </x:c>
      <x:c r="C9" s="13" t="str">
        <x:v>LAMINATE</x:v>
      </x:c>
      <x:c r="D9" s="18" t="n">
        <x:v>15</x:v>
      </x:c>
      <x:c r="E9" s="18" t="n">
        <x:v>500</x:v>
      </x:c>
      <x:c r="F9" s="18" t="n">
        <x:f>D9*E9/60</x:f>
        <x:v>125</x:v>
      </x:c>
      <x:c r="G9" s="13" t="str">
        <x:v>done</x:v>
      </x:c>
      <x:c r="H9" s="18" t="n">
        <x:v>125</x:v>
      </x:c>
    </x:row>
    <x:row r="10">
      <x:c r="A10" s="13" t="n">
        <x:v>7</x:v>
      </x:c>
      <x:c r="B10" s="13" t="str">
        <x:v>CUTTING 1</x:v>
      </x:c>
      <x:c r="C10" s="13" t="str">
        <x:v>CUTTING</x:v>
      </x:c>
      <x:c r="D10" s="18" t="n">
        <x:v>10</x:v>
      </x:c>
      <x:c r="E10" s="18" t="n">
        <x:v>280</x:v>
      </x:c>
      <x:c r="F10" s="18" t="n">
        <x:f>D10*E10/60</x:f>
        <x:v>46.666666666666664</x:v>
      </x:c>
      <x:c r="G10" s="13" t="str">
        <x:v>done</x:v>
      </x:c>
      <x:c r="H10" s="18" t="n">
        <x:v>46.67</x:v>
      </x:c>
    </x:row>
    <x:row r="11">
      <x:c r="A11" s="13" t="n">
        <x:v>8</x:v>
      </x:c>
      <x:c r="B11" s="13" t="str">
        <x:v>SLIT ADHESIVE 2</x:v>
      </x:c>
      <x:c r="C11" s="13" t="str">
        <x:v>SLIT</x:v>
      </x:c>
      <x:c r="D11" s="18" t="n">
        <x:v>8</x:v>
      </x:c>
      <x:c r="E11" s="18" t="n">
        <x:v>300</x:v>
      </x:c>
      <x:c r="F11" s="18" t="n">
        <x:f>D11*E11/60</x:f>
        <x:v>40</x:v>
      </x:c>
      <x:c r="G11" s="13" t="str">
        <x:v>done</x:v>
      </x:c>
      <x:c r="H11" s="18" t="n">
        <x:v>40</x:v>
      </x:c>
    </x:row>
    <x:row r="12">
      <x:c r="A12" s="13" t="n">
        <x:v>9</x:v>
      </x:c>
      <x:c r="B12" s="13" t="str">
        <x:v>PRE-CUT1</x:v>
      </x:c>
      <x:c r="C12" s="13" t="str">
        <x:v>MANUAL</x:v>
      </x:c>
      <x:c r="D12" s="18" t="n">
        <x:v>20</x:v>
      </x:c>
      <x:c r="E12" s="18" t="n">
        <x:v>180</x:v>
      </x:c>
      <x:c r="F12" s="18" t="n">
        <x:f>D12*E12/60</x:f>
        <x:v>60</x:v>
      </x:c>
      <x:c r="G12" s="13" t="str">
        <x:v>done</x:v>
      </x:c>
      <x:c r="H12" s="18" t="n">
        <x:v>60</x:v>
      </x:c>
    </x:row>
    <x:row r="13">
      <x:c r="A13" s="13" t="n">
        <x:v>10</x:v>
      </x:c>
      <x:c r="B13" s="13" t="str">
        <x:v>SLIT FILM 2</x:v>
      </x:c>
      <x:c r="C13" s="13" t="str">
        <x:v>SLIT</x:v>
      </x:c>
      <x:c r="D13" s="18" t="n">
        <x:v>8</x:v>
      </x:c>
      <x:c r="E13" s="18" t="n">
        <x:v>300</x:v>
      </x:c>
      <x:c r="F13" s="18" t="n">
        <x:f>D13*E13/60</x:f>
        <x:v>40</x:v>
      </x:c>
      <x:c r="G13" s="13" t="str">
        <x:v>done</x:v>
      </x:c>
      <x:c r="H13" s="18" t="n">
        <x:v>40</x:v>
      </x:c>
    </x:row>
    <x:row r="14">
      <x:c r="A14" s="13" t="n">
        <x:v>11</x:v>
      </x:c>
      <x:c r="B14" s="13" t="str">
        <x:v>SLIT ADHESIVE 3</x:v>
      </x:c>
      <x:c r="C14" s="13" t="str">
        <x:v>SLIT</x:v>
      </x:c>
      <x:c r="D14" s="18" t="n">
        <x:v>8</x:v>
      </x:c>
      <x:c r="E14" s="18" t="n">
        <x:v>300</x:v>
      </x:c>
      <x:c r="F14" s="18" t="n">
        <x:f>D14*E14/60</x:f>
        <x:v>40</x:v>
      </x:c>
      <x:c r="G14" s="13" t="str">
        <x:v>done</x:v>
      </x:c>
      <x:c r="H14" s="18" t="n">
        <x:v>40</x:v>
      </x:c>
    </x:row>
    <x:row r="15">
      <x:c r="A15" s="13" t="n">
        <x:v>12</x:v>
      </x:c>
      <x:c r="B15" s="13" t="str">
        <x:v>PRE-CUT2</x:v>
      </x:c>
      <x:c r="C15" s="13" t="str">
        <x:v>MANUAL</x:v>
      </x:c>
      <x:c r="D15" s="18" t="n">
        <x:v>20</x:v>
      </x:c>
      <x:c r="E15" s="18" t="n">
        <x:v>180</x:v>
      </x:c>
      <x:c r="F15" s="18" t="n">
        <x:f>D15*E15/60</x:f>
        <x:v>60</x:v>
      </x:c>
      <x:c r="G15" s="13" t="str">
        <x:v>done</x:v>
      </x:c>
      <x:c r="H15" s="18" t="n">
        <x:v>60</x:v>
      </x:c>
    </x:row>
    <x:row r="16">
      <x:c r="A16" s="13" t="n">
        <x:v>13</x:v>
      </x:c>
      <x:c r="B16" s="13" t="str">
        <x:v>CUTTING 2</x:v>
      </x:c>
      <x:c r="C16" s="13" t="str">
        <x:v>CUTTING</x:v>
      </x:c>
      <x:c r="D16" s="18" t="n">
        <x:v>10</x:v>
      </x:c>
      <x:c r="E16" s="18" t="n">
        <x:v>280</x:v>
      </x:c>
      <x:c r="F16" s="18" t="n">
        <x:f>D16*E16/60</x:f>
        <x:v>46.666666666666664</x:v>
      </x:c>
      <x:c r="G16" s="13" t="str">
        <x:v>done</x:v>
      </x:c>
      <x:c r="H16" s="18" t="n">
        <x:v>46.67</x:v>
      </x:c>
    </x:row>
    <x:row r="17">
      <x:c r="A17" s="13" t="n">
        <x:v>14</x:v>
      </x:c>
      <x:c r="B17" s="13" t="str">
        <x:v>CUTTING 3</x:v>
      </x:c>
      <x:c r="C17" s="13" t="str">
        <x:v>CUTTING</x:v>
      </x:c>
      <x:c r="D17" s="18" t="n">
        <x:v>10</x:v>
      </x:c>
      <x:c r="E17" s="18" t="n">
        <x:v>280</x:v>
      </x:c>
      <x:c r="F17" s="18" t="n">
        <x:f>D17*E17/60</x:f>
        <x:v>46.666666666666664</x:v>
      </x:c>
      <x:c r="G17" s="13" t="str">
        <x:v>done</x:v>
      </x:c>
      <x:c r="H17" s="18" t="n">
        <x:v>46.67</x:v>
      </x:c>
    </x:row>
    <x:row r="18">
      <x:c r="A18" s="13" t="n">
        <x:v>15</x:v>
      </x:c>
      <x:c r="B18" s="13" t="str">
        <x:v>CUTTING 4</x:v>
      </x:c>
      <x:c r="C18" s="13" t="str">
        <x:v>CUTTING</x:v>
      </x:c>
      <x:c r="D18" s="18" t="n">
        <x:v>10</x:v>
      </x:c>
      <x:c r="E18" s="18" t="n">
        <x:v>280</x:v>
      </x:c>
      <x:c r="F18" s="18" t="n">
        <x:f>D18*E18/60</x:f>
        <x:v>46.666666666666664</x:v>
      </x:c>
      <x:c r="G18" s="13" t="str">
        <x:v>done</x:v>
      </x:c>
      <x:c r="H18" s="18" t="n">
        <x:v>46.67</x:v>
      </x:c>
    </x:row>
    <x:row r="19">
      <x:c r="A19" s="13" t="n">
        <x:v>16</x:v>
      </x:c>
      <x:c r="B19" s="13" t="str">
        <x:v>PUNCHING 3</x:v>
      </x:c>
      <x:c r="C19" s="13" t="str">
        <x:v>PUNCHING</x:v>
      </x:c>
      <x:c r="D19" s="18" t="n">
        <x:v>12</x:v>
      </x:c>
      <x:c r="E19" s="18" t="n">
        <x:v>350</x:v>
      </x:c>
      <x:c r="F19" s="18" t="n">
        <x:f>D19*E19/60</x:f>
        <x:v>70</x:v>
      </x:c>
      <x:c r="G19" s="13" t="str">
        <x:v>done</x:v>
      </x:c>
      <x:c r="H19" s="18" t="n">
        <x:v>70</x:v>
      </x:c>
    </x:row>
    <x:row r="20">
      <x:c r="A20" s="13" t="n">
        <x:v>17</x:v>
      </x:c>
      <x:c r="B20" s="13" t="str">
        <x:v>CUTTING 5</x:v>
      </x:c>
      <x:c r="C20" s="13" t="str">
        <x:v>CUTTING</x:v>
      </x:c>
      <x:c r="D20" s="18" t="n">
        <x:v>10</x:v>
      </x:c>
      <x:c r="E20" s="18" t="n">
        <x:v>280</x:v>
      </x:c>
      <x:c r="F20" s="18" t="n">
        <x:f>D20*E20/60</x:f>
        <x:v>46.666666666666664</x:v>
      </x:c>
      <x:c r="G20" s="13" t="str">
        <x:v>done</x:v>
      </x:c>
      <x:c r="H20" s="18" t="n">
        <x:v>46.67</x:v>
      </x:c>
    </x:row>
    <x:row r="21">
      <x:c r="A21" s="13" t="n">
        <x:v>18</x:v>
      </x:c>
      <x:c r="B21" s="13" t="str">
        <x:v>CUTTING 6</x:v>
      </x:c>
      <x:c r="C21" s="13" t="str">
        <x:v>CUTTING</x:v>
      </x:c>
      <x:c r="D21" s="18" t="n">
        <x:v>10</x:v>
      </x:c>
      <x:c r="E21" s="18" t="n">
        <x:v>280</x:v>
      </x:c>
      <x:c r="F21" s="18" t="n">
        <x:f>D21*E21/60</x:f>
        <x:v>46.666666666666664</x:v>
      </x:c>
      <x:c r="G21" s="13" t="str">
        <x:v>done</x:v>
      </x:c>
      <x:c r="H21" s="18" t="n">
        <x:v>46.67</x:v>
      </x:c>
    </x:row>
    <x:row r="22">
      <x:c r="A22" s="13" t="n">
        <x:v>19</x:v>
      </x:c>
      <x:c r="B22" s="13" t="str">
        <x:v>CUTTING 7</x:v>
      </x:c>
      <x:c r="C22" s="13" t="str">
        <x:v>CUTTING</x:v>
      </x:c>
      <x:c r="D22" s="18" t="n">
        <x:v>10</x:v>
      </x:c>
      <x:c r="E22" s="18" t="n">
        <x:v>280</x:v>
      </x:c>
      <x:c r="F22" s="18" t="n">
        <x:f>D22*E22/60</x:f>
        <x:v>46.666666666666664</x:v>
      </x:c>
      <x:c r="G22" s="13" t="str">
        <x:v>done</x:v>
      </x:c>
      <x:c r="H22" s="18" t="n">
        <x:v>46.67</x:v>
      </x:c>
    </x:row>
    <x:row r="23">
      <x:c r="A23" s="13" t="n">
        <x:v>20</x:v>
      </x:c>
      <x:c r="B23" s="13" t="str">
        <x:v>CUTTING 8</x:v>
      </x:c>
      <x:c r="C23" s="13" t="str">
        <x:v>CUTTING</x:v>
      </x:c>
      <x:c r="D23" s="18" t="n">
        <x:v>10</x:v>
      </x:c>
      <x:c r="E23" s="18" t="n">
        <x:v>280</x:v>
      </x:c>
      <x:c r="F23" s="18" t="n">
        <x:f>D23*E23/60</x:f>
        <x:v>46.666666666666664</x:v>
      </x:c>
      <x:c r="G23" s="13" t="str">
        <x:v>done</x:v>
      </x:c>
      <x:c r="H23" s="18" t="n">
        <x:v>46.67</x:v>
      </x:c>
    </x:row>
    <x:row r="24">
      <x:c r="A24" s="13" t="n">
        <x:v>21</x:v>
      </x:c>
      <x:c r="B24" s="13" t="str">
        <x:v>ASSEMBLY &amp; PACKING</x:v>
      </x:c>
      <x:c r="C24" s="13" t="str">
        <x:v>ASSEMBLY</x:v>
      </x:c>
      <x:c r="D24" s="18" t="n">
        <x:v>25</x:v>
      </x:c>
      <x:c r="E24" s="18" t="n">
        <x:v>220</x:v>
      </x:c>
      <x:c r="F24" s="18" t="n">
        <x:f>D24*E24/60</x:f>
        <x:v>91.66666666666667</x:v>
      </x:c>
      <x:c r="G24" s="13" t="str">
        <x:v>done</x:v>
      </x:c>
      <x:c r="H24" s="18" t="n">
        <x:v>91.67</x:v>
      </x:c>
    </x:row>
    <x:row r="25">
      <x:c r="A25" s="26" t="str">
        <x:v>รวมต้นทุน Work Center</x:v>
      </x:c>
      <x:c r="B25" s="26"/>
      <x:c r="C25" s="26"/>
      <x:c r="D25" s="28"/>
      <x:c r="E25" s="28"/>
      <x:c r="F25" s="28" t="n">
        <x:f>SUM(F4:F24)</x:f>
        <x:v>1245</x:v>
      </x:c>
      <x:c r="G25" s="26"/>
      <x:c r="H25" s="28" t="n">
        <x:f>SUM(H4:H24)</x:f>
        <x:v>1245.03</x:v>
      </x:c>
    </x:row>
  </x:sheetData>
  <x:mergeCells>
    <x:mergeCell ref="A1:H1"/>
    <x:mergeCell ref="A25:E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3.75" hidden="0" customWidth="1"/>
    <x:col min="3" max="3" width="10" hidden="0" customWidth="1"/>
    <x:col min="4" max="4" width="11.25" hidden="0" customWidth="1"/>
    <x:col min="5" max="5" width="13.75" hidden="0" customWidth="1"/>
    <x:col min="6" max="6" width="15" hidden="0" customWidth="1"/>
    <x:col min="7" max="7" width="16.25" hidden="0" customWidth="1"/>
    <x:col min="8" max="8" width="20" hidden="0" customWidth="1"/>
  </x:cols>
  <x:sheetData>
    <x:row r="1" ht="27" customHeight="1">
      <x:c r="A1" s="4" t="str">
        <x:v>BOM / Product Cost จาก Master Data Odoo</x:v>
      </x:c>
      <x:c r="B1" s="4" t="str">
        <x:v>BOM / Product Cost จาก Master Data Odoo</x:v>
      </x:c>
      <x:c r="C1" s="4" t="str">
        <x:v>BOM / Product Cost จาก Master Data Odoo</x:v>
      </x:c>
      <x:c r="D1" s="4" t="str">
        <x:v>BOM / Product Cost จาก Master Data Odoo</x:v>
      </x:c>
      <x:c r="E1" s="4" t="str">
        <x:v>BOM / Product Cost จาก Master Data Odoo</x:v>
      </x:c>
      <x:c r="F1" s="4" t="str">
        <x:v>BOM / Product Cost จาก Master Data Odoo</x:v>
      </x:c>
      <x:c r="G1" s="4" t="str">
        <x:v>BOM / Product Cost จาก Master Data Odoo</x:v>
      </x:c>
      <x:c r="H1" s="4" t="str">
        <x:v>BOM / Product Cost จาก Master Data Odoo</x:v>
      </x:c>
    </x:row>
    <x:row r="3">
      <x:c r="A3" s="24" t="str">
        <x:v>Code</x:v>
      </x:c>
      <x:c r="B3" s="24" t="str">
        <x:v>Component</x:v>
      </x:c>
      <x:c r="C3" s="24" t="str">
        <x:v>Qty</x:v>
      </x:c>
      <x:c r="D3" s="24" t="str">
        <x:v>UoM</x:v>
      </x:c>
      <x:c r="E3" s="24" t="str">
        <x:v>Unit Cost</x:v>
      </x:c>
      <x:c r="F3" s="24" t="str">
        <x:v>Line Cost</x:v>
      </x:c>
      <x:c r="G3" s="24" t="str">
        <x:v>Cost Method</x:v>
      </x:c>
      <x:c r="H3" s="24" t="str">
        <x:v>Valuation</x:v>
      </x:c>
    </x:row>
    <x:row r="4">
      <x:c r="A4" s="13" t="str">
        <x:v>10001001</x:v>
      </x:c>
      <x:c r="B4" s="13" t="str">
        <x:v>[10001001] Raw Material 1</x:v>
      </x:c>
      <x:c r="C4" s="18" t="n">
        <x:v>1</x:v>
      </x:c>
      <x:c r="D4" s="13" t="str">
        <x:v>Units</x:v>
      </x:c>
      <x:c r="E4" s="18" t="n">
        <x:v>9</x:v>
      </x:c>
      <x:c r="F4" s="18" t="n">
        <x:f>C4*E4</x:f>
        <x:v>9</x:v>
      </x:c>
      <x:c r="G4" s="13" t="str">
        <x:v>average</x:v>
      </x:c>
      <x:c r="H4" s="13" t="str">
        <x:v>manual_periodic</x:v>
      </x:c>
    </x:row>
    <x:row r="5">
      <x:c r="A5" s="13" t="str">
        <x:v>10001002</x:v>
      </x:c>
      <x:c r="B5" s="13" t="str">
        <x:v>[10001002] Raw Material 2</x:v>
      </x:c>
      <x:c r="C5" s="18" t="n">
        <x:v>1</x:v>
      </x:c>
      <x:c r="D5" s="13" t="str">
        <x:v>Units</x:v>
      </x:c>
      <x:c r="E5" s="18" t="n">
        <x:v>10</x:v>
      </x:c>
      <x:c r="F5" s="18" t="n">
        <x:f>C5*E5</x:f>
        <x:v>10</x:v>
      </x:c>
      <x:c r="G5" s="13" t="str">
        <x:v>average</x:v>
      </x:c>
      <x:c r="H5" s="13" t="str">
        <x:v>manual_periodic</x:v>
      </x:c>
    </x:row>
    <x:row r="6">
      <x:c r="A6" s="13" t="str">
        <x:v>10001003</x:v>
      </x:c>
      <x:c r="B6" s="13" t="str">
        <x:v>[10001003] Raw Material 3</x:v>
      </x:c>
      <x:c r="C6" s="18" t="n">
        <x:v>1</x:v>
      </x:c>
      <x:c r="D6" s="13" t="str">
        <x:v>Units</x:v>
      </x:c>
      <x:c r="E6" s="18" t="n">
        <x:v>11</x:v>
      </x:c>
      <x:c r="F6" s="18" t="n">
        <x:f>C6*E6</x:f>
        <x:v>11</x:v>
      </x:c>
      <x:c r="G6" s="13" t="str">
        <x:v>average</x:v>
      </x:c>
      <x:c r="H6" s="13" t="str">
        <x:v>manual_periodic</x:v>
      </x:c>
    </x:row>
    <x:row r="7">
      <x:c r="A7" s="13" t="str">
        <x:v>10001004</x:v>
      </x:c>
      <x:c r="B7" s="13" t="str">
        <x:v>[10001004] Raw Material 4</x:v>
      </x:c>
      <x:c r="C7" s="18" t="n">
        <x:v>1</x:v>
      </x:c>
      <x:c r="D7" s="13" t="str">
        <x:v>Units</x:v>
      </x:c>
      <x:c r="E7" s="18" t="n">
        <x:v>12</x:v>
      </x:c>
      <x:c r="F7" s="18" t="n">
        <x:f>C7*E7</x:f>
        <x:v>12</x:v>
      </x:c>
      <x:c r="G7" s="13" t="str">
        <x:v>average</x:v>
      </x:c>
      <x:c r="H7" s="13" t="str">
        <x:v>manual_periodic</x:v>
      </x:c>
    </x:row>
    <x:row r="8">
      <x:c r="A8" s="13" t="str">
        <x:v>10001005</x:v>
      </x:c>
      <x:c r="B8" s="13" t="str">
        <x:v>[10001005] Raw Material 5</x:v>
      </x:c>
      <x:c r="C8" s="18" t="n">
        <x:v>1</x:v>
      </x:c>
      <x:c r="D8" s="13" t="str">
        <x:v>Units</x:v>
      </x:c>
      <x:c r="E8" s="18" t="n">
        <x:v>13</x:v>
      </x:c>
      <x:c r="F8" s="18" t="n">
        <x:f>C8*E8</x:f>
        <x:v>13</x:v>
      </x:c>
      <x:c r="G8" s="13" t="str">
        <x:v>average</x:v>
      </x:c>
      <x:c r="H8" s="13" t="str">
        <x:v>manual_periodic</x:v>
      </x:c>
    </x:row>
    <x:row r="9">
      <x:c r="A9" s="13" t="str">
        <x:v>10001006</x:v>
      </x:c>
      <x:c r="B9" s="13" t="str">
        <x:v>[10001006] Raw Material 6</x:v>
      </x:c>
      <x:c r="C9" s="18" t="n">
        <x:v>1</x:v>
      </x:c>
      <x:c r="D9" s="13" t="str">
        <x:v>Units</x:v>
      </x:c>
      <x:c r="E9" s="18" t="n">
        <x:v>14</x:v>
      </x:c>
      <x:c r="F9" s="18" t="n">
        <x:f>C9*E9</x:f>
        <x:v>14</x:v>
      </x:c>
      <x:c r="G9" s="13" t="str">
        <x:v>average</x:v>
      </x:c>
      <x:c r="H9" s="13" t="str">
        <x:v>manual_periodic</x:v>
      </x:c>
    </x:row>
    <x:row r="10">
      <x:c r="A10" s="13" t="str">
        <x:v>10001007</x:v>
      </x:c>
      <x:c r="B10" s="13" t="str">
        <x:v>[10001007] Raw Material 7</x:v>
      </x:c>
      <x:c r="C10" s="18" t="n">
        <x:v>1</x:v>
      </x:c>
      <x:c r="D10" s="13" t="str">
        <x:v>Units</x:v>
      </x:c>
      <x:c r="E10" s="18" t="n">
        <x:v>15</x:v>
      </x:c>
      <x:c r="F10" s="18" t="n">
        <x:f>C10*E10</x:f>
        <x:v>15</x:v>
      </x:c>
      <x:c r="G10" s="13" t="str">
        <x:v>average</x:v>
      </x:c>
      <x:c r="H10" s="13" t="str">
        <x:v>manual_periodic</x:v>
      </x:c>
    </x:row>
    <x:row r="11">
      <x:c r="A11" s="13" t="str">
        <x:v>10001008</x:v>
      </x:c>
      <x:c r="B11" s="13" t="str">
        <x:v>[10001008] Raw Material 8</x:v>
      </x:c>
      <x:c r="C11" s="18" t="n">
        <x:v>1</x:v>
      </x:c>
      <x:c r="D11" s="13" t="str">
        <x:v>Units</x:v>
      </x:c>
      <x:c r="E11" s="18" t="n">
        <x:v>16</x:v>
      </x:c>
      <x:c r="F11" s="18" t="n">
        <x:f>C11*E11</x:f>
        <x:v>16</x:v>
      </x:c>
      <x:c r="G11" s="13" t="str">
        <x:v>average</x:v>
      </x:c>
      <x:c r="H11" s="13" t="str">
        <x:v>manual_periodic</x:v>
      </x:c>
    </x:row>
    <x:row r="12">
      <x:c r="A12" s="13" t="str">
        <x:v>10001009</x:v>
      </x:c>
      <x:c r="B12" s="13" t="str">
        <x:v>[10001009] Raw Material 9</x:v>
      </x:c>
      <x:c r="C12" s="18" t="n">
        <x:v>1</x:v>
      </x:c>
      <x:c r="D12" s="13" t="str">
        <x:v>Units</x:v>
      </x:c>
      <x:c r="E12" s="18" t="n">
        <x:v>17</x:v>
      </x:c>
      <x:c r="F12" s="18" t="n">
        <x:f>C12*E12</x:f>
        <x:v>17</x:v>
      </x:c>
      <x:c r="G12" s="13" t="str">
        <x:v>average</x:v>
      </x:c>
      <x:c r="H12" s="13" t="str">
        <x:v>manual_periodic</x:v>
      </x:c>
    </x:row>
    <x:row r="13">
      <x:c r="A13" s="13" t="str">
        <x:v>10001010</x:v>
      </x:c>
      <x:c r="B13" s="13" t="str">
        <x:v>[10001010] Raw Material 10</x:v>
      </x:c>
      <x:c r="C13" s="18" t="n">
        <x:v>1</x:v>
      </x:c>
      <x:c r="D13" s="13" t="str">
        <x:v>Units</x:v>
      </x:c>
      <x:c r="E13" s="18" t="n">
        <x:v>18</x:v>
      </x:c>
      <x:c r="F13" s="18" t="n">
        <x:f>C13*E13</x:f>
        <x:v>18</x:v>
      </x:c>
      <x:c r="G13" s="13" t="str">
        <x:v>average</x:v>
      </x:c>
      <x:c r="H13" s="13" t="str">
        <x:v>manual_periodic</x:v>
      </x:c>
    </x:row>
    <x:row r="14">
      <x:c r="A14" s="13" t="str">
        <x:v>10001011</x:v>
      </x:c>
      <x:c r="B14" s="13" t="str">
        <x:v>[10001011] Raw Material 11</x:v>
      </x:c>
      <x:c r="C14" s="18" t="n">
        <x:v>1</x:v>
      </x:c>
      <x:c r="D14" s="13" t="str">
        <x:v>Units</x:v>
      </x:c>
      <x:c r="E14" s="18" t="n">
        <x:v>19</x:v>
      </x:c>
      <x:c r="F14" s="18" t="n">
        <x:f>C14*E14</x:f>
        <x:v>19</x:v>
      </x:c>
      <x:c r="G14" s="13" t="str">
        <x:v>average</x:v>
      </x:c>
      <x:c r="H14" s="13" t="str">
        <x:v>manual_periodic</x:v>
      </x:c>
    </x:row>
    <x:row r="15">
      <x:c r="A15" s="13" t="str">
        <x:v>10001012</x:v>
      </x:c>
      <x:c r="B15" s="13" t="str">
        <x:v>[10001012] Raw Material 12</x:v>
      </x:c>
      <x:c r="C15" s="18" t="n">
        <x:v>1</x:v>
      </x:c>
      <x:c r="D15" s="13" t="str">
        <x:v>Units</x:v>
      </x:c>
      <x:c r="E15" s="18" t="n">
        <x:v>20</x:v>
      </x:c>
      <x:c r="F15" s="18" t="n">
        <x:f>C15*E15</x:f>
        <x:v>20</x:v>
      </x:c>
      <x:c r="G15" s="13" t="str">
        <x:v>average</x:v>
      </x:c>
      <x:c r="H15" s="13" t="str">
        <x:v>manual_periodic</x:v>
      </x:c>
    </x:row>
    <x:row r="16">
      <x:c r="A16" s="13" t="str">
        <x:v>10001013</x:v>
      </x:c>
      <x:c r="B16" s="13" t="str">
        <x:v>[10001013] Raw Material 13</x:v>
      </x:c>
      <x:c r="C16" s="18" t="n">
        <x:v>1</x:v>
      </x:c>
      <x:c r="D16" s="13" t="str">
        <x:v>Units</x:v>
      </x:c>
      <x:c r="E16" s="18" t="n">
        <x:v>21</x:v>
      </x:c>
      <x:c r="F16" s="18" t="n">
        <x:f>C16*E16</x:f>
        <x:v>21</x:v>
      </x:c>
      <x:c r="G16" s="13" t="str">
        <x:v>average</x:v>
      </x:c>
      <x:c r="H16" s="13" t="str">
        <x:v>manual_periodic</x:v>
      </x:c>
    </x:row>
    <x:row r="17">
      <x:c r="A17" s="13" t="str">
        <x:v>10001014</x:v>
      </x:c>
      <x:c r="B17" s="13" t="str">
        <x:v>[10001014] Raw Material 14</x:v>
      </x:c>
      <x:c r="C17" s="18" t="n">
        <x:v>1</x:v>
      </x:c>
      <x:c r="D17" s="13" t="str">
        <x:v>Units</x:v>
      </x:c>
      <x:c r="E17" s="18" t="n">
        <x:v>22</x:v>
      </x:c>
      <x:c r="F17" s="18" t="n">
        <x:f>C17*E17</x:f>
        <x:v>22</x:v>
      </x:c>
      <x:c r="G17" s="13" t="str">
        <x:v>average</x:v>
      </x:c>
      <x:c r="H17" s="13" t="str">
        <x:v>manual_periodic</x:v>
      </x:c>
    </x:row>
    <x:row r="18">
      <x:c r="A18" s="13" t="str">
        <x:v>10001015</x:v>
      </x:c>
      <x:c r="B18" s="13" t="str">
        <x:v>[10001015] Raw Material 15</x:v>
      </x:c>
      <x:c r="C18" s="18" t="n">
        <x:v>1</x:v>
      </x:c>
      <x:c r="D18" s="13" t="str">
        <x:v>Units</x:v>
      </x:c>
      <x:c r="E18" s="18" t="n">
        <x:v>23</x:v>
      </x:c>
      <x:c r="F18" s="18" t="n">
        <x:f>C18*E18</x:f>
        <x:v>23</x:v>
      </x:c>
      <x:c r="G18" s="13" t="str">
        <x:v>average</x:v>
      </x:c>
      <x:c r="H18" s="13" t="str">
        <x:v>manual_periodic</x:v>
      </x:c>
    </x:row>
    <x:row r="19">
      <x:c r="A19" s="13" t="str">
        <x:v>10001016</x:v>
      </x:c>
      <x:c r="B19" s="13" t="str">
        <x:v>[10001016] Raw Material 16</x:v>
      </x:c>
      <x:c r="C19" s="18" t="n">
        <x:v>1</x:v>
      </x:c>
      <x:c r="D19" s="13" t="str">
        <x:v>Units</x:v>
      </x:c>
      <x:c r="E19" s="18" t="n">
        <x:v>24</x:v>
      </x:c>
      <x:c r="F19" s="18" t="n">
        <x:f>C19*E19</x:f>
        <x:v>24</x:v>
      </x:c>
      <x:c r="G19" s="13" t="str">
        <x:v>average</x:v>
      </x:c>
      <x:c r="H19" s="13" t="str">
        <x:v>manual_periodic</x:v>
      </x:c>
    </x:row>
    <x:row r="20">
      <x:c r="A20" s="13" t="str">
        <x:v>BOX.0001</x:v>
      </x:c>
      <x:c r="B20" s="13" t="str">
        <x:v>[BOX.0001] Raw Material 17</x:v>
      </x:c>
      <x:c r="C20" s="18" t="n">
        <x:v>1</x:v>
      </x:c>
      <x:c r="D20" s="13" t="str">
        <x:v>Units</x:v>
      </x:c>
      <x:c r="E20" s="18" t="n">
        <x:v>25</x:v>
      </x:c>
      <x:c r="F20" s="18" t="n">
        <x:f>C20*E20</x:f>
        <x:v>25</x:v>
      </x:c>
      <x:c r="G20" s="13" t="str">
        <x:v>average</x:v>
      </x:c>
      <x:c r="H20" s="13" t="str">
        <x:v>manual_periodic</x:v>
      </x:c>
    </x:row>
    <x:row r="21">
      <x:c r="A21" s="13" t="str">
        <x:v>40001014</x:v>
      </x:c>
      <x:c r="B21" s="13" t="str">
        <x:v>[40001014] Trading 1</x:v>
      </x:c>
      <x:c r="C21" s="18" t="n">
        <x:v>1</x:v>
      </x:c>
      <x:c r="D21" s="13" t="str">
        <x:v>Units</x:v>
      </x:c>
      <x:c r="E21" s="18" t="n">
        <x:v>25</x:v>
      </x:c>
      <x:c r="F21" s="18" t="n">
        <x:f>C21*E21</x:f>
        <x:v>25</x:v>
      </x:c>
      <x:c r="G21" s="13" t="str">
        <x:v>fifo</x:v>
      </x:c>
      <x:c r="H21" s="13" t="str">
        <x:v>manual_periodic</x:v>
      </x:c>
    </x:row>
    <x:row r="22">
      <x:c r="A22" s="16" t="str">
        <x:v>รวมต้นทุนวัตถุดิบ</x:v>
      </x:c>
      <x:c r="B22" s="16"/>
      <x:c r="C22" s="30"/>
      <x:c r="D22" s="16"/>
      <x:c r="E22" s="30"/>
      <x:c r="F22" s="30" t="n">
        <x:f>SUM(F4:F21)</x:f>
        <x:v>314</x:v>
      </x:c>
      <x:c r="G22" s="16"/>
      <x:c r="H22" s="16"/>
    </x:row>
    <x:row r="23">
      <x:c r="A23" s="16"/>
      <x:c r="B23" s="16"/>
      <x:c r="C23" s="16"/>
      <x:c r="D23" s="16"/>
      <x:c r="E23" s="30"/>
      <x:c r="F23" s="30"/>
      <x:c r="G23" s="16"/>
      <x:c r="H23" s="16"/>
    </x:row>
    <x:row r="24">
      <x:c r="A24" s="16" t="str">
        <x:v>รวมต้นทุน Work Order</x:v>
      </x:c>
      <x:c r="B24" s="16"/>
      <x:c r="C24" s="16"/>
      <x:c r="D24" s="16"/>
      <x:c r="E24" s="30"/>
      <x:c r="F24" s="30" t="n">
        <x:f>'01 WO Cost'!F25</x:f>
        <x:v>1245</x:v>
      </x:c>
      <x:c r="G24" s="16"/>
      <x:c r="H24" s="16"/>
    </x:row>
    <x:row r="25">
      <x:c r="A25" s="16" t="str">
        <x:v>ต้นทุน FG ต่อหน่วยตาม Odoo</x:v>
      </x:c>
      <x:c r="B25" s="16"/>
      <x:c r="C25" s="16"/>
      <x:c r="D25" s="16"/>
      <x:c r="E25" s="30"/>
      <x:c r="F25" s="30" t="n">
        <x:f>F22+F24</x:f>
        <x:v>1559</x:v>
      </x:c>
      <x:c r="G25" s="16" t="str">
        <x:v>Odoo standard_price = 1559</x:v>
      </x:c>
      <x:c r="H25" s="16"/>
    </x:row>
  </x:sheetData>
  <x:mergeCells>
    <x:mergeCell ref="A1:H1"/>
    <x:mergeCell ref="A22:E22"/>
    <x:mergeCell ref="A24:E24"/>
    <x:mergeCell ref="A25:E25"/>
    <x:mergeCell ref="G25:H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7.5" hidden="0" customWidth="1"/>
    <x:col min="3" max="3" width="11.25" hidden="0" customWidth="1"/>
    <x:col min="4" max="4" width="15" hidden="0" customWidth="1"/>
    <x:col min="5" max="5" width="15" hidden="0" customWidth="1"/>
    <x:col min="6" max="6" width="27.5" hidden="0" customWidth="1"/>
    <x:col min="7" max="7" width="37.5" hidden="0" customWidth="1"/>
  </x:cols>
  <x:sheetData>
    <x:row r="1" ht="27" customHeight="1">
      <x:c r="A1" s="4" t="str">
        <x:v>Odoo Evidence: เอกสารและ Valuation ที่เกิดจริง</x:v>
      </x:c>
      <x:c r="B1" s="4" t="str">
        <x:v>Odoo Evidence: เอกสารและ Valuation ที่เกิดจริง</x:v>
      </x:c>
      <x:c r="C1" s="4" t="str">
        <x:v>Odoo Evidence: เอกสารและ Valuation ที่เกิดจริง</x:v>
      </x:c>
      <x:c r="D1" s="4" t="str">
        <x:v>Odoo Evidence: เอกสารและ Valuation ที่เกิดจริง</x:v>
      </x:c>
      <x:c r="E1" s="4" t="str">
        <x:v>Odoo Evidence: เอกสารและ Valuation ที่เกิดจริง</x:v>
      </x:c>
      <x:c r="F1" s="4" t="str">
        <x:v>Odoo Evidence: เอกสารและ Valuation ที่เกิดจริง</x:v>
      </x:c>
      <x:c r="G1" s="4" t="str">
        <x:v>Odoo Evidence: เอกสารและ Valuation ที่เกิดจริง</x:v>
      </x:c>
      <x:c r="H1" s="4" t="str">
        <x:v>Odoo Evidence: เอกสารและ Valuation ที่เกิดจริง</x:v>
      </x:c>
    </x:row>
    <x:row r="3">
      <x:c r="A3" s="10" t="str">
        <x:v>ประเภท</x:v>
      </x:c>
      <x:c r="B3" s="10" t="str">
        <x:v>เลขที่</x:v>
      </x:c>
      <x:c r="C3" s="10" t="str">
        <x:v>สถานะ</x:v>
      </x:c>
      <x:c r="D3" s="10" t="str">
        <x:v>รายละเอียด</x:v>
      </x:c>
    </x:row>
    <x:row r="4">
      <x:c r="A4" s="13" t="str">
        <x:v>Sales Order</x:v>
      </x:c>
      <x:c r="B4" s="13" t="str">
        <x:v>S00009</x:v>
      </x:c>
      <x:c r="C4" s="13" t="str">
        <x:v>sale</x:v>
      </x:c>
      <x:c r="D4" s="13" t="str">
        <x:v>จุดเริ่ม demand จากลูกค้า</x:v>
      </x:c>
    </x:row>
    <x:row r="5">
      <x:c r="A5" s="13" t="str">
        <x:v>Manufacturing Order</x:v>
      </x:c>
      <x:c r="B5" s="13" t="str">
        <x:v>WH/MO/00010</x:v>
      </x:c>
      <x:c r="C5" s="13" t="str">
        <x:v>done</x:v>
      </x:c>
      <x:c r="D5" s="13" t="str">
        <x:v>Origin S00009, Lot FG-COST-S00009</x:v>
      </x:c>
    </x:row>
    <x:row r="6">
      <x:c r="A6" s="13" t="str">
        <x:v>RFQ / PO Auto</x:v>
      </x:c>
      <x:c r="B6" s="13" t="str">
        <x:v>P00009</x:v>
      </x:c>
      <x:c r="C6" s="13" t="str">
        <x:v>draft</x:v>
      </x:c>
      <x:c r="D6" s="13" t="str">
        <x:v>เกิดจาก Buy + MTO ของวัตถุดิบ</x:v>
      </x:c>
    </x:row>
    <x:row r="7">
      <x:c r="A7" s="13" t="str">
        <x:v>Delivery</x:v>
      </x:c>
      <x:c r="B7" s="13" t="str">
        <x:v>WH/OUT/00009</x:v>
      </x:c>
      <x:c r="C7" s="13" t="str">
        <x:v>done</x:v>
      </x:c>
      <x:c r="D7" s="13" t="str">
        <x:v>ส่งสินค้า FG หลังผลิตเสร็จ</x:v>
      </x:c>
    </x:row>
    <x:row r="8">
      <x:c r="A8" s="13" t="str">
        <x:v>Invoice</x:v>
      </x:c>
      <x:c r="B8" s="13" t="str">
        <x:v>INV/2026/00004</x:v>
      </x:c>
      <x:c r="C8" s="13" t="str">
        <x:v>posted</x:v>
      </x:c>
      <x:c r="D8" s="13" t="str">
        <x:v>Amount 2420.35</x:v>
      </x:c>
    </x:row>
    <x:row r="11">
      <x:c r="A11" s="24" t="str">
        <x:v>Reference</x:v>
      </x:c>
      <x:c r="B11" s="24" t="str">
        <x:v>Product</x:v>
      </x:c>
      <x:c r="C11" s="24" t="str">
        <x:v>Qty</x:v>
      </x:c>
      <x:c r="D11" s="24" t="str">
        <x:v>Unit Cost</x:v>
      </x:c>
      <x:c r="E11" s="24" t="str">
        <x:v>Value</x:v>
      </x:c>
      <x:c r="F11" s="24" t="str">
        <x:v>ความหมาย</x:v>
      </x:c>
      <x:c r="G11" s="24" t="str">
        <x:v>เข้า Dashboard/Report</x:v>
      </x:c>
    </x:row>
    <x:row r="12">
      <x:c r="A12" s="13" t="str">
        <x:v>WH/MO/00010</x:v>
      </x:c>
      <x:c r="B12" s="13" t="str">
        <x:v>[10001001] Raw Material 1</x:v>
      </x:c>
      <x:c r="C12" s="18" t="n">
        <x:v>-1</x:v>
      </x:c>
      <x:c r="D12" s="18" t="n">
        <x:v>9</x:v>
      </x:c>
      <x:c r="E12" s="18" t="n">
        <x:v>-9</x:v>
      </x:c>
      <x:c r="F12" s="13" t="str">
        <x:v>ตัดวัตถุดิบเข้า MO</x:v>
      </x:c>
      <x:c r="G12" s="13" t="str">
        <x:v>Inventory &gt; Reporting &gt; Valuation</x:v>
      </x:c>
    </x:row>
    <x:row r="13">
      <x:c r="A13" s="13" t="str">
        <x:v>WH/MO/00010</x:v>
      </x:c>
      <x:c r="B13" s="13" t="str">
        <x:v>[10001002] Raw Material 2</x:v>
      </x:c>
      <x:c r="C13" s="18" t="n">
        <x:v>-1</x:v>
      </x:c>
      <x:c r="D13" s="18" t="n">
        <x:v>10</x:v>
      </x:c>
      <x:c r="E13" s="18" t="n">
        <x:v>-10</x:v>
      </x:c>
      <x:c r="F13" s="13" t="str">
        <x:v>ตัดวัตถุดิบเข้า MO</x:v>
      </x:c>
      <x:c r="G13" s="13" t="str">
        <x:v>Inventory &gt; Reporting &gt; Valuation</x:v>
      </x:c>
    </x:row>
    <x:row r="14">
      <x:c r="A14" s="13" t="str">
        <x:v>WH/MO/00010</x:v>
      </x:c>
      <x:c r="B14" s="13" t="str">
        <x:v>[10001003] Raw Material 3</x:v>
      </x:c>
      <x:c r="C14" s="18" t="n">
        <x:v>-1</x:v>
      </x:c>
      <x:c r="D14" s="18" t="n">
        <x:v>11</x:v>
      </x:c>
      <x:c r="E14" s="18" t="n">
        <x:v>-11</x:v>
      </x:c>
      <x:c r="F14" s="13" t="str">
        <x:v>ตัดวัตถุดิบเข้า MO</x:v>
      </x:c>
      <x:c r="G14" s="13" t="str">
        <x:v>Inventory &gt; Reporting &gt; Valuation</x:v>
      </x:c>
    </x:row>
    <x:row r="15">
      <x:c r="A15" s="13" t="str">
        <x:v>WH/MO/00010</x:v>
      </x:c>
      <x:c r="B15" s="13" t="str">
        <x:v>[10001004] Raw Material 4</x:v>
      </x:c>
      <x:c r="C15" s="18" t="n">
        <x:v>-1</x:v>
      </x:c>
      <x:c r="D15" s="18" t="n">
        <x:v>12</x:v>
      </x:c>
      <x:c r="E15" s="18" t="n">
        <x:v>-12</x:v>
      </x:c>
      <x:c r="F15" s="13" t="str">
        <x:v>ตัดวัตถุดิบเข้า MO</x:v>
      </x:c>
      <x:c r="G15" s="13" t="str">
        <x:v>Inventory &gt; Reporting &gt; Valuation</x:v>
      </x:c>
    </x:row>
    <x:row r="16">
      <x:c r="A16" s="13" t="str">
        <x:v>WH/MO/00010</x:v>
      </x:c>
      <x:c r="B16" s="13" t="str">
        <x:v>[10001005] Raw Material 5</x:v>
      </x:c>
      <x:c r="C16" s="18" t="n">
        <x:v>-1</x:v>
      </x:c>
      <x:c r="D16" s="18" t="n">
        <x:v>13</x:v>
      </x:c>
      <x:c r="E16" s="18" t="n">
        <x:v>-13</x:v>
      </x:c>
      <x:c r="F16" s="13" t="str">
        <x:v>ตัดวัตถุดิบเข้า MO</x:v>
      </x:c>
      <x:c r="G16" s="13" t="str">
        <x:v>Inventory &gt; Reporting &gt; Valuation</x:v>
      </x:c>
    </x:row>
    <x:row r="17">
      <x:c r="A17" s="13" t="str">
        <x:v>WH/MO/00010</x:v>
      </x:c>
      <x:c r="B17" s="13" t="str">
        <x:v>[10001006] Raw Material 6</x:v>
      </x:c>
      <x:c r="C17" s="18" t="n">
        <x:v>-1</x:v>
      </x:c>
      <x:c r="D17" s="18" t="n">
        <x:v>14</x:v>
      </x:c>
      <x:c r="E17" s="18" t="n">
        <x:v>-14</x:v>
      </x:c>
      <x:c r="F17" s="13" t="str">
        <x:v>ตัดวัตถุดิบเข้า MO</x:v>
      </x:c>
      <x:c r="G17" s="13" t="str">
        <x:v>Inventory &gt; Reporting &gt; Valuation</x:v>
      </x:c>
    </x:row>
    <x:row r="18">
      <x:c r="A18" s="13" t="str">
        <x:v>WH/MO/00010</x:v>
      </x:c>
      <x:c r="B18" s="13" t="str">
        <x:v>[10001007] Raw Material 7</x:v>
      </x:c>
      <x:c r="C18" s="18" t="n">
        <x:v>-1</x:v>
      </x:c>
      <x:c r="D18" s="18" t="n">
        <x:v>15</x:v>
      </x:c>
      <x:c r="E18" s="18" t="n">
        <x:v>-15</x:v>
      </x:c>
      <x:c r="F18" s="13" t="str">
        <x:v>ตัดวัตถุดิบเข้า MO</x:v>
      </x:c>
      <x:c r="G18" s="13" t="str">
        <x:v>Inventory &gt; Reporting &gt; Valuation</x:v>
      </x:c>
    </x:row>
    <x:row r="19">
      <x:c r="A19" s="13" t="str">
        <x:v>WH/MO/00010</x:v>
      </x:c>
      <x:c r="B19" s="13" t="str">
        <x:v>[10001008] Raw Material 8</x:v>
      </x:c>
      <x:c r="C19" s="18" t="n">
        <x:v>-1</x:v>
      </x:c>
      <x:c r="D19" s="18" t="n">
        <x:v>16</x:v>
      </x:c>
      <x:c r="E19" s="18" t="n">
        <x:v>-16</x:v>
      </x:c>
      <x:c r="F19" s="13" t="str">
        <x:v>ตัดวัตถุดิบเข้า MO</x:v>
      </x:c>
      <x:c r="G19" s="13" t="str">
        <x:v>Inventory &gt; Reporting &gt; Valuation</x:v>
      </x:c>
    </x:row>
    <x:row r="20">
      <x:c r="A20" s="13" t="str">
        <x:v>WH/MO/00010</x:v>
      </x:c>
      <x:c r="B20" s="13" t="str">
        <x:v>[10001009] Raw Material 9</x:v>
      </x:c>
      <x:c r="C20" s="18" t="n">
        <x:v>-1</x:v>
      </x:c>
      <x:c r="D20" s="18" t="n">
        <x:v>17</x:v>
      </x:c>
      <x:c r="E20" s="18" t="n">
        <x:v>-17</x:v>
      </x:c>
      <x:c r="F20" s="13" t="str">
        <x:v>ตัดวัตถุดิบเข้า MO</x:v>
      </x:c>
      <x:c r="G20" s="13" t="str">
        <x:v>Inventory &gt; Reporting &gt; Valuation</x:v>
      </x:c>
    </x:row>
    <x:row r="21">
      <x:c r="A21" s="13" t="str">
        <x:v>WH/MO/00010</x:v>
      </x:c>
      <x:c r="B21" s="13" t="str">
        <x:v>[10001010] Raw Material 10</x:v>
      </x:c>
      <x:c r="C21" s="18" t="n">
        <x:v>-1</x:v>
      </x:c>
      <x:c r="D21" s="18" t="n">
        <x:v>18</x:v>
      </x:c>
      <x:c r="E21" s="18" t="n">
        <x:v>-18</x:v>
      </x:c>
      <x:c r="F21" s="13" t="str">
        <x:v>ตัดวัตถุดิบเข้า MO</x:v>
      </x:c>
      <x:c r="G21" s="13" t="str">
        <x:v>Inventory &gt; Reporting &gt; Valuation</x:v>
      </x:c>
    </x:row>
    <x:row r="22">
      <x:c r="A22" s="13" t="str">
        <x:v>WH/MO/00010</x:v>
      </x:c>
      <x:c r="B22" s="13" t="str">
        <x:v>[10001011] Raw Material 11</x:v>
      </x:c>
      <x:c r="C22" s="18" t="n">
        <x:v>-1</x:v>
      </x:c>
      <x:c r="D22" s="18" t="n">
        <x:v>19</x:v>
      </x:c>
      <x:c r="E22" s="18" t="n">
        <x:v>-19</x:v>
      </x:c>
      <x:c r="F22" s="13" t="str">
        <x:v>ตัดวัตถุดิบเข้า MO</x:v>
      </x:c>
      <x:c r="G22" s="13" t="str">
        <x:v>Inventory &gt; Reporting &gt; Valuation</x:v>
      </x:c>
    </x:row>
    <x:row r="23">
      <x:c r="A23" s="13" t="str">
        <x:v>WH/MO/00010</x:v>
      </x:c>
      <x:c r="B23" s="13" t="str">
        <x:v>[10001012] Raw Material 12</x:v>
      </x:c>
      <x:c r="C23" s="18" t="n">
        <x:v>-1</x:v>
      </x:c>
      <x:c r="D23" s="18" t="n">
        <x:v>20</x:v>
      </x:c>
      <x:c r="E23" s="18" t="n">
        <x:v>-20</x:v>
      </x:c>
      <x:c r="F23" s="13" t="str">
        <x:v>ตัดวัตถุดิบเข้า MO</x:v>
      </x:c>
      <x:c r="G23" s="13" t="str">
        <x:v>Inventory &gt; Reporting &gt; Valuation</x:v>
      </x:c>
    </x:row>
    <x:row r="24">
      <x:c r="A24" s="13" t="str">
        <x:v>WH/MO/00010</x:v>
      </x:c>
      <x:c r="B24" s="13" t="str">
        <x:v>[10001013] Raw Material 13</x:v>
      </x:c>
      <x:c r="C24" s="18" t="n">
        <x:v>-1</x:v>
      </x:c>
      <x:c r="D24" s="18" t="n">
        <x:v>21</x:v>
      </x:c>
      <x:c r="E24" s="18" t="n">
        <x:v>-21</x:v>
      </x:c>
      <x:c r="F24" s="13" t="str">
        <x:v>ตัดวัตถุดิบเข้า MO</x:v>
      </x:c>
      <x:c r="G24" s="13" t="str">
        <x:v>Inventory &gt; Reporting &gt; Valuation</x:v>
      </x:c>
    </x:row>
    <x:row r="25">
      <x:c r="A25" s="13" t="str">
        <x:v>WH/MO/00010</x:v>
      </x:c>
      <x:c r="B25" s="13" t="str">
        <x:v>[10001014] Raw Material 14</x:v>
      </x:c>
      <x:c r="C25" s="18" t="n">
        <x:v>-1</x:v>
      </x:c>
      <x:c r="D25" s="18" t="n">
        <x:v>22</x:v>
      </x:c>
      <x:c r="E25" s="18" t="n">
        <x:v>-22</x:v>
      </x:c>
      <x:c r="F25" s="13" t="str">
        <x:v>ตัดวัตถุดิบเข้า MO</x:v>
      </x:c>
      <x:c r="G25" s="13" t="str">
        <x:v>Inventory &gt; Reporting &gt; Valuation</x:v>
      </x:c>
    </x:row>
    <x:row r="26">
      <x:c r="A26" s="13" t="str">
        <x:v>WH/MO/00010</x:v>
      </x:c>
      <x:c r="B26" s="13" t="str">
        <x:v>[10001015] Raw Material 15</x:v>
      </x:c>
      <x:c r="C26" s="18" t="n">
        <x:v>-1</x:v>
      </x:c>
      <x:c r="D26" s="18" t="n">
        <x:v>23</x:v>
      </x:c>
      <x:c r="E26" s="18" t="n">
        <x:v>-23</x:v>
      </x:c>
      <x:c r="F26" s="13" t="str">
        <x:v>ตัดวัตถุดิบเข้า MO</x:v>
      </x:c>
      <x:c r="G26" s="13" t="str">
        <x:v>Inventory &gt; Reporting &gt; Valuation</x:v>
      </x:c>
    </x:row>
    <x:row r="27">
      <x:c r="A27" s="13" t="str">
        <x:v>WH/MO/00010</x:v>
      </x:c>
      <x:c r="B27" s="13" t="str">
        <x:v>[10001016] Raw Material 16</x:v>
      </x:c>
      <x:c r="C27" s="18" t="n">
        <x:v>-1</x:v>
      </x:c>
      <x:c r="D27" s="18" t="n">
        <x:v>24</x:v>
      </x:c>
      <x:c r="E27" s="18" t="n">
        <x:v>-24</x:v>
      </x:c>
      <x:c r="F27" s="13" t="str">
        <x:v>ตัดวัตถุดิบเข้า MO</x:v>
      </x:c>
      <x:c r="G27" s="13" t="str">
        <x:v>Inventory &gt; Reporting &gt; Valuation</x:v>
      </x:c>
    </x:row>
    <x:row r="28">
      <x:c r="A28" s="13" t="str">
        <x:v>WH/MO/00010</x:v>
      </x:c>
      <x:c r="B28" s="13" t="str">
        <x:v>[BOX.0001] Raw Material 17</x:v>
      </x:c>
      <x:c r="C28" s="18" t="n">
        <x:v>-1</x:v>
      </x:c>
      <x:c r="D28" s="18" t="n">
        <x:v>25</x:v>
      </x:c>
      <x:c r="E28" s="18" t="n">
        <x:v>-25</x:v>
      </x:c>
      <x:c r="F28" s="13" t="str">
        <x:v>ตัดวัตถุดิบเข้า MO</x:v>
      </x:c>
      <x:c r="G28" s="13" t="str">
        <x:v>Inventory &gt; Reporting &gt; Valuation</x:v>
      </x:c>
    </x:row>
    <x:row r="29">
      <x:c r="A29" s="13" t="str">
        <x:v>WH/MO/00010</x:v>
      </x:c>
      <x:c r="B29" s="13" t="str">
        <x:v>[40001014] Trading 1</x:v>
      </x:c>
      <x:c r="C29" s="18" t="n">
        <x:v>-1</x:v>
      </x:c>
      <x:c r="D29" s="18" t="n">
        <x:v>25</x:v>
      </x:c>
      <x:c r="E29" s="18" t="n">
        <x:v>-25</x:v>
      </x:c>
      <x:c r="F29" s="13" t="str">
        <x:v>ตัดวัตถุดิบเข้า MO</x:v>
      </x:c>
      <x:c r="G29" s="13" t="str">
        <x:v>Inventory &gt; Reporting &gt; Valuation</x:v>
      </x:c>
    </x:row>
    <x:row r="30">
      <x:c r="A30" s="13" t="str">
        <x:v>WH/MO/00010</x:v>
      </x:c>
      <x:c r="B30" s="13" t="str">
        <x:v>[AMS.400] AMS.400 REV 00</x:v>
      </x:c>
      <x:c r="C30" s="18" t="n">
        <x:v>1</x:v>
      </x:c>
      <x:c r="D30" s="18" t="n">
        <x:v>1559</x:v>
      </x:c>
      <x:c r="E30" s="18" t="n">
        <x:v>1559</x:v>
      </x:c>
      <x:c r="F30" s="13" t="str">
        <x:v>ผลิตสินค้า FG พร้อมต้นทุนรวม</x:v>
      </x:c>
      <x:c r="G30" s="13" t="str">
        <x:v>Inventory &gt; Reporting &gt; Valuation</x:v>
      </x:c>
    </x:row>
    <x:row r="31">
      <x:c r="A31" s="13" t="str">
        <x:v>WH/OUT/00009</x:v>
      </x:c>
      <x:c r="B31" s="13" t="str">
        <x:v>[AMS.400] AMS.400 REV 00</x:v>
      </x:c>
      <x:c r="C31" s="18" t="n">
        <x:v>-1</x:v>
      </x:c>
      <x:c r="D31" s="18" t="n">
        <x:v>1559</x:v>
      </x:c>
      <x:c r="E31" s="18" t="n">
        <x:v>-1559</x:v>
      </x:c>
      <x:c r="F31" s="13" t="str">
        <x:v>ตัด FG ตอนส่งของ</x:v>
      </x:c>
      <x:c r="G31" s="13" t="str">
        <x:v>Inventory &gt; Reporting &gt; Valuation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42.5" hidden="0" customWidth="1"/>
    <x:col min="3" max="3" width="22.5" hidden="0" customWidth="1"/>
    <x:col min="4" max="4" width="65" hidden="0" customWidth="1"/>
    <x:col min="5" max="5" width="15" hidden="0" customWidth="1"/>
  </x:cols>
  <x:sheetData>
    <x:row r="1" ht="27" customHeight="1">
      <x:c r="A1" s="4" t="str">
        <x:v>วิธีเปิดตรวจใน Odoo Dashboard / Report</x:v>
      </x:c>
      <x:c r="B1" s="4" t="str">
        <x:v>วิธีเปิดตรวจใน Odoo Dashboard / Report</x:v>
      </x:c>
      <x:c r="C1" s="4" t="str">
        <x:v>วิธีเปิดตรวจใน Odoo Dashboard / Report</x:v>
      </x:c>
      <x:c r="D1" s="4" t="str">
        <x:v>วิธีเปิดตรวจใน Odoo Dashboard / Report</x:v>
      </x:c>
      <x:c r="E1" s="4" t="str">
        <x:v>วิธีเปิดตรวจใน Odoo Dashboard / Report</x:v>
      </x:c>
      <x:c r="F1" s="4" t="str">
        <x:v>วิธีเปิดตรวจใน Odoo Dashboard / Report</x:v>
      </x:c>
    </x:row>
    <x:row r="3">
      <x:c r="A3" s="10" t="str">
        <x:v>ลำดับ</x:v>
      </x:c>
      <x:c r="B3" s="10" t="str">
        <x:v>เปิดที่ไหนใน Odoo</x:v>
      </x:c>
      <x:c r="C3" s="10" t="str">
        <x:v>ค้นหาอะไร</x:v>
      </x:c>
      <x:c r="D3" s="10" t="str">
        <x:v>สิ่งที่ต้องอธิบายตอน present</x:v>
      </x:c>
      <x:c r="E3" s="10" t="str">
        <x:v>สถานะ</x:v>
      </x:c>
    </x:row>
    <x:row r="4">
      <x:c r="A4" s="13" t="n">
        <x:v>1</x:v>
      </x:c>
      <x:c r="B4" s="13" t="str">
        <x:v>Manufacturing &gt; Operations &gt; Manufacturing Orders</x:v>
      </x:c>
      <x:c r="C4" s="13" t="str">
        <x:v>WH/MO/00010</x:v>
      </x:c>
      <x:c r="D4" s="13" t="str">
        <x:v>แสดงว่า SO สร้าง MO จริง และ MO ปิด done แล้ว</x:v>
      </x:c>
      <x:c r="E4" s="13" t="str">
        <x:v>Done</x:v>
      </x:c>
    </x:row>
    <x:row r="5">
      <x:c r="A5" s="13" t="n">
        <x:v>2</x:v>
      </x:c>
      <x:c r="B5" s="13" t="str">
        <x:v>Manufacturing &gt; Operations &gt; Work Orders</x:v>
      </x:c>
      <x:c r="C5" s="13" t="str">
        <x:v>WH/MO/00010</x:v>
      </x:c>
      <x:c r="D5" s="13" t="str">
        <x:v>แสดง 21 work orders พร้อม duration และ work center</x:v>
      </x:c>
      <x:c r="E5" s="13" t="str">
        <x:v>Done</x:v>
      </x:c>
    </x:row>
    <x:row r="6">
      <x:c r="A6" s="13" t="n">
        <x:v>3</x:v>
      </x:c>
      <x:c r="B6" s="13" t="str">
        <x:v>Product &gt; AMS.400 &gt; Cost Structure</x:v>
      </x:c>
      <x:c r="C6" s="13" t="str">
        <x:v>AMS.400</x:v>
      </x:c>
      <x:c r="D6" s="13" t="str">
        <x:v>อธิบายต้นทุนรวม = วัตถุดิบ + เวลา work center</x:v>
      </x:c>
      <x:c r="E6" s="13" t="str">
        <x:v>Done</x:v>
      </x:c>
    </x:row>
    <x:row r="7">
      <x:c r="A7" s="13" t="n">
        <x:v>4</x:v>
      </x:c>
      <x:c r="B7" s="13" t="str">
        <x:v>Inventory &gt; Reporting &gt; Valuation</x:v>
      </x:c>
      <x:c r="C7" s="13" t="str">
        <x:v>WH/MO/00010</x:v>
      </x:c>
      <x:c r="D7" s="13" t="str">
        <x:v>เห็น raw material ติดลบ, FG รับเข้าด้วย unit cost 1,559</x:v>
      </x:c>
      <x:c r="E7" s="13" t="str">
        <x:v>Done</x:v>
      </x:c>
    </x:row>
    <x:row r="8">
      <x:c r="A8" s="13" t="n">
        <x:v>5</x:v>
      </x:c>
      <x:c r="B8" s="13" t="str">
        <x:v>Inventory &gt; Reporting &gt; Valuation</x:v>
      </x:c>
      <x:c r="C8" s="13" t="str">
        <x:v>WH/OUT/00009</x:v>
      </x:c>
      <x:c r="D8" s="13" t="str">
        <x:v>เห็น FG ตัดออกจากคลังด้วย cost เดียวกัน</x:v>
      </x:c>
      <x:c r="E8" s="13" t="str">
        <x:v>Done</x:v>
      </x:c>
    </x:row>
    <x:row r="9">
      <x:c r="A9" s="13" t="n">
        <x:v>6</x:v>
      </x:c>
      <x:c r="B9" s="13" t="str">
        <x:v>Accounting &gt; Customers &gt; Invoices</x:v>
      </x:c>
      <x:c r="C9" s="13" t="str">
        <x:v>INV/2026/00004</x:v>
      </x:c>
      <x:c r="D9" s="13" t="str">
        <x:v>ใบแจ้งหนี้ posted เพื่อปิด flow sale-to-invoice</x:v>
      </x:c>
      <x:c r="E9" s="13" t="str">
        <x:v>posted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41.25" hidden="0" customWidth="1"/>
    <x:col min="3" max="3" width="41.25" hidden="0" customWidth="1"/>
    <x:col min="4" max="4" width="45" hidden="0" customWidth="1"/>
    <x:col min="5" max="5" width="23.75" hidden="0" customWidth="1"/>
  </x:cols>
  <x:sheetData>
    <x:row r="1" ht="27" customHeight="1">
      <x:c r="A1" s="4" t="str">
        <x:v>Standard vs Pain Point สำหรับ Work Order + Cost</x:v>
      </x:c>
      <x:c r="B1" s="4" t="str">
        <x:v>Standard vs Pain Point สำหรับ Work Order + Cost</x:v>
      </x:c>
      <x:c r="C1" s="4" t="str">
        <x:v>Standard vs Pain Point สำหรับ Work Order + Cost</x:v>
      </x:c>
      <x:c r="D1" s="4" t="str">
        <x:v>Standard vs Pain Point สำหรับ Work Order + Cost</x:v>
      </x:c>
      <x:c r="E1" s="4" t="str">
        <x:v>Standard vs Pain Point สำหรับ Work Order + Cost</x:v>
      </x:c>
      <x:c r="F1" s="4" t="str">
        <x:v>Standard vs Pain Point สำหรับ Work Order + Cost</x:v>
      </x:c>
    </x:row>
    <x:row r="3">
      <x:c r="A3" s="10" t="str">
        <x:v>หัวข้อ</x:v>
      </x:c>
      <x:c r="B3" s="10" t="str">
        <x:v>Standard Odoo รองรับ</x:v>
      </x:c>
      <x:c r="C3" s="10" t="str">
        <x:v>Pain Point เดิม</x:v>
      </x:c>
      <x:c r="D3" s="10" t="str">
        <x:v>สิ่งที่ config แล้ว</x:v>
      </x:c>
      <x:c r="E3" s="10" t="str">
        <x:v>ต้อง Custom ไหม</x:v>
      </x:c>
    </x:row>
    <x:row r="4">
      <x:c r="A4" s="13" t="str">
        <x:v>Work Order</x:v>
      </x:c>
      <x:c r="B4" s="13" t="str">
        <x:v>MRP Work Orders + Work Centers + Operations</x:v>
      </x:c>
      <x:c r="C4" s="13" t="str">
        <x:v>เดิม flow มีขั้นตอนผลิต แต่ยังไม่เห็นต้นทุนรายขั้น</x:v>
      </x:c>
      <x:c r="D4" s="13" t="str">
        <x:v>สร้าง WO 21 ขั้นตาม BOM/Routing และปิด done</x:v>
      </x:c>
      <x:c r="E4" s="13" t="str">
        <x:v>ไม่ต้อง custom</x:v>
      </x:c>
    </x:row>
    <x:row r="5">
      <x:c r="A5" s="13" t="str">
        <x:v>Machine/Labor Cost</x:v>
      </x:c>
      <x:c r="B5" s="13" t="str">
        <x:v>Work Center Cost per Hour + Operation Duration</x:v>
      </x:c>
      <x:c r="C5" s="13" t="str">
        <x:v>Work Center cost เป็น 0 ทำให้ต้นทุนผลิตไม่สะท้อนจริง</x:v>
      </x:c>
      <x:c r="D5" s="13" t="str">
        <x:v>ตั้ง cost/hour และเวลาแต่ละ operation</x:v>
      </x:c>
      <x:c r="E5" s="13" t="str">
        <x:v>ไม่ต้อง custom</x:v>
      </x:c>
    </x:row>
    <x:row r="6">
      <x:c r="A6" s="13" t="str">
        <x:v>BOM Cost</x:v>
      </x:c>
      <x:c r="B6" s="13" t="str">
        <x:v>BOM Cost Structure / button_bom_cost</x:v>
      </x:c>
      <x:c r="C6" s="13" t="str">
        <x:v>FG มีแค่ raw cost 314 ยังไม่รวม WO</x:v>
      </x:c>
      <x:c r="D6" s="13" t="str">
        <x:v>คำนวณ FG cost เป็น 1,559</x:v>
      </x:c>
      <x:c r="E6" s="13" t="str">
        <x:v>ไม่ต้อง custom</x:v>
      </x:c>
    </x:row>
    <x:row r="7">
      <x:c r="A7" s="13" t="str">
        <x:v>Stock Valuation</x:v>
      </x:c>
      <x:c r="B7" s="13" t="str">
        <x:v>Stock Valuation Layer จาก MO และ Delivery</x:v>
      </x:c>
      <x:c r="C7" s="13" t="str">
        <x:v>ไม่เห็นหลักฐาน cost ใน report</x:v>
      </x:c>
      <x:c r="D7" s="13" t="str">
        <x:v>SVL แสดง FG รับเข้าและตัดออกที่ 1,559</x:v>
      </x:c>
      <x:c r="E7" s="13" t="str">
        <x:v>ไม่ต้อง custom</x:v>
      </x:c>
    </x:row>
    <x:row r="8">
      <x:c r="A8" s="13" t="str">
        <x:v>Odoo Dashboard</x:v>
      </x:c>
      <x:c r="B8" s="13" t="str">
        <x:v>Inventory Valuation / Manufacturing reports / Accounting invoice</x:v>
      </x:c>
      <x:c r="C8" s="13" t="str">
        <x:v>ต้องมีจุดเปิดให้ลูกค้าดู</x:v>
      </x:c>
      <x:c r="D8" s="13" t="str">
        <x:v>เตรียม record และ menu guide แล้ว</x:v>
      </x:c>
      <x:c r="E8" s="13" t="str">
        <x:v>ไม่ต้อง custom</x:v>
      </x:c>
    </x:row>
    <x:row r="9">
      <x:c r="A9" s="13" t="str">
        <x:v>Accounting Posting</x:v>
      </x:c>
      <x:c r="B9" s="13" t="str">
        <x:v>ถ้าใช้ automated valuation จะลง journal stock อัตโนมัติ</x:v>
      </x:c>
      <x:c r="C9" s="13" t="str">
        <x:v>DB demo ตอนนี้เป็น manual periodic</x:v>
      </x:c>
      <x:c r="D9" s="13" t="str">
        <x:v>แสดงต้นทุนใน SVL แล้ว; ถ้าลูกค้าต้องการลงบัญชีจริงต้อง set automated valuation + accounts</x:v>
      </x:c>
      <x:c r="E9" s="13" t="str">
        <x:v>อาจเป็น configuration เพิ่ม</x:v>
      </x:c>
    </x:row>
  </x:sheetData>
  <x:mergeCells>
    <x:mergeCell ref="A1:F1"/>
  </x:mergeCells>
  <x:pageMargins left="0.7" right="0.7" top="0.75" bottom="0.75" header="0.3" footer="0.3"/>
</x:worksheet>
</file>